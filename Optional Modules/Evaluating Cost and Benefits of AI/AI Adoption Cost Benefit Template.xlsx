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CD2FDA6-9EDB-4835-BEC0-D971AFE93F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B35" i="1" s="1" a="1"/>
  <c r="B35" i="1" s="1"/>
  <c r="C19" i="1"/>
  <c r="B61" i="1" s="1" a="1"/>
  <c r="B61" i="1" s="1"/>
  <c r="B36" i="1" l="1" a="1"/>
  <c r="B36" i="1" s="1"/>
  <c r="B37" i="1" s="1"/>
  <c r="B38" i="1" s="1"/>
  <c r="B60" i="1" a="1"/>
  <c r="B6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<sst xmlns="http://schemas.openxmlformats.org/spreadsheetml/2006/main" count="73" uniqueCount="64">
  <si>
    <t>Cost-Benefit Analysis Template</t>
  </si>
  <si>
    <t>Section 1 — Scenario &amp; Context</t>
  </si>
  <si>
    <t>Field</t>
  </si>
  <si>
    <t>Example / Input</t>
  </si>
  <si>
    <t>AI Tool / Scenario</t>
  </si>
  <si>
    <t>Automating weekly marketing reports</t>
  </si>
  <si>
    <t>Purpose / Goal</t>
  </si>
  <si>
    <t>Save time &amp; improve accuracy</t>
  </si>
  <si>
    <t>Stakeholders</t>
  </si>
  <si>
    <t>Marketing team, management</t>
  </si>
  <si>
    <t>Timeframe for Analysis</t>
  </si>
  <si>
    <t>12 months</t>
  </si>
  <si>
    <t>Section 2 — Costs</t>
  </si>
  <si>
    <t>Cost Type</t>
  </si>
  <si>
    <t>Description</t>
  </si>
  <si>
    <t>Quantitative ($)</t>
  </si>
  <si>
    <t>Qualitative / Notes</t>
  </si>
  <si>
    <t>Financial</t>
  </si>
  <si>
    <t>Subscription, licenses, cloud</t>
  </si>
  <si>
    <t>$100/month × 12 months</t>
  </si>
  <si>
    <t>Human Resources</t>
  </si>
  <si>
    <t>Training, workflow integration</t>
  </si>
  <si>
    <t>5 hrs × $50/hr</t>
  </si>
  <si>
    <t>Opportunity</t>
  </si>
  <si>
    <t>Time diverted from other tasks</t>
  </si>
  <si>
    <t>10 hrs × $50/hr</t>
  </si>
  <si>
    <t>Social / Ethical</t>
  </si>
  <si>
    <t>Bias, privacy, reputational</t>
  </si>
  <si>
    <t>Qualitative only</t>
  </si>
  <si>
    <t>Total Costs (Quantitative)</t>
  </si>
  <si>
    <t>Section 3 — Benefits</t>
  </si>
  <si>
    <t>Benefit Type</t>
  </si>
  <si>
    <t>Productivity</t>
  </si>
  <si>
    <t>Hours saved × hourly rate</t>
  </si>
  <si>
    <t>4 hrs/week × $50 × 50 weeks</t>
  </si>
  <si>
    <t>Decision Support</t>
  </si>
  <si>
    <t>Smarter, faster decisions</t>
  </si>
  <si>
    <t>Qualitative</t>
  </si>
  <si>
    <t>Creativity / Innovation</t>
  </si>
  <si>
    <t>AI-assisted content/prototyping</t>
  </si>
  <si>
    <t>Competitive Advantage</t>
  </si>
  <si>
    <t>Faster delivery / improved quality</t>
  </si>
  <si>
    <t>Other</t>
  </si>
  <si>
    <t>Employee satisfaction, error reduction</t>
  </si>
  <si>
    <t>Total Benefits (Quantitative)</t>
  </si>
  <si>
    <t>Section 4 — Net Benefit</t>
  </si>
  <si>
    <t>Metric</t>
  </si>
  <si>
    <t>Value</t>
  </si>
  <si>
    <t>Total Quantitative Benefits</t>
  </si>
  <si>
    <t>Total Quantitative Costs</t>
  </si>
  <si>
    <t>Net Benefit</t>
  </si>
  <si>
    <t>Cost-Justifiable?</t>
  </si>
  <si>
    <t>Notes: Include qualitative factors (ethics, privacy, social impact) in your justification.</t>
  </si>
  <si>
    <t>Section 5 — Reflection &amp; Ethical Considerations</t>
  </si>
  <si>
    <t>1. Which costs were most surprising or underestimated?</t>
  </si>
  <si>
    <t>[Your reflection here]</t>
  </si>
  <si>
    <t>2. Did the benefits justify adoption? Why or why not?</t>
  </si>
  <si>
    <t>3. How did ethical, privacy, or human oversight considerations influence your decision?</t>
  </si>
  <si>
    <t>4. Would your decision change if assumptions (hours saved, subscription cost, number of users) changed?</t>
  </si>
  <si>
    <t>Section 6 — Optional Visuals</t>
  </si>
  <si>
    <t>Chart Options:</t>
  </si>
  <si>
    <t>1️⃣ Costs vs Benefits Comparison</t>
  </si>
  <si>
    <t>Total Benefits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</si>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</sst>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9"/>
      <color rgb="FF01173D"/>
      <name val="IBM Plex Sans"/>
    </font>
    <font>
      <b/>
      <sz val="9"/>
      <color rgb="FF01173D"/>
      <name val="IBM Plex Sans"/>
    </font>
    <font>
      <b/>
      <sz val="10"/>
      <color rgb="FF01173D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73D8FF"/>
      </patternFill>
    </fill>
    <fill>
      <patternFill patternType="solid">
        <fgColor rgb="FF999999"/>
      </patternFill>
    </fill>
    <fill>
      <patternFill patternType="solid">
        <fgColor rgb="FFFCDC00"/>
      </patternFill>
    </fill>
    <fill>
      <patternFill patternType="solid">
        <fgColor rgb="FFA4DD00"/>
      </patternFill>
    </fill>
  </fills>
  <borders count="9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>
      <alignment vertical="top"/>
    </xf>
  </cellStyleXfs>
  <cellXfs count="24">
    <xf numFmtId="0" fontId="0" fillId="0" borderId="0" xfId="0">
      <alignment vertical="top"/>
    </xf>
    <xf numFmtId="49" fontId="1" fillId="2" borderId="0" xfId="0" applyNumberFormat="1" applyFont="1" applyFill="1">
      <alignment vertical="top"/>
    </xf>
    <xf numFmtId="0" fontId="1" fillId="2" borderId="0" xfId="0" applyFont="1" applyFill="1">
      <alignment vertical="top"/>
    </xf>
    <xf numFmtId="49" fontId="1" fillId="3" borderId="1" xfId="0" applyNumberFormat="1" applyFont="1" applyFill="1" applyBorder="1">
      <alignment vertical="top"/>
    </xf>
    <xf numFmtId="49" fontId="1" fillId="3" borderId="2" xfId="0" applyNumberFormat="1" applyFont="1" applyFill="1" applyBorder="1">
      <alignment vertical="top"/>
    </xf>
    <xf numFmtId="0" fontId="0" fillId="3" borderId="0" xfId="0" applyFill="1">
      <alignment vertical="top"/>
    </xf>
    <xf numFmtId="49" fontId="0" fillId="0" borderId="3" xfId="0" applyNumberFormat="1" applyBorder="1">
      <alignment vertical="top"/>
    </xf>
    <xf numFmtId="49" fontId="0" fillId="0" borderId="4" xfId="0" applyNumberFormat="1" applyBorder="1">
      <alignment vertical="top"/>
    </xf>
    <xf numFmtId="49" fontId="0" fillId="0" borderId="5" xfId="0" applyNumberFormat="1" applyBorder="1">
      <alignment vertical="top"/>
    </xf>
    <xf numFmtId="49" fontId="0" fillId="0" borderId="6" xfId="0" applyNumberFormat="1" applyBorder="1">
      <alignment vertical="top"/>
    </xf>
    <xf numFmtId="49" fontId="1" fillId="3" borderId="7" xfId="0" applyNumberFormat="1" applyFont="1" applyFill="1" applyBorder="1">
      <alignment vertical="top"/>
    </xf>
    <xf numFmtId="49" fontId="0" fillId="0" borderId="0" xfId="0" applyNumberFormat="1">
      <alignment vertical="top"/>
    </xf>
    <xf numFmtId="164" fontId="0" fillId="0" borderId="0" xfId="0" applyNumberFormat="1">
      <alignment vertical="top"/>
    </xf>
    <xf numFmtId="49" fontId="0" fillId="0" borderId="8" xfId="0" applyNumberFormat="1" applyBorder="1">
      <alignment vertical="top"/>
    </xf>
    <xf numFmtId="164" fontId="0" fillId="0" borderId="8" xfId="0" applyNumberFormat="1" applyBorder="1">
      <alignment vertical="top"/>
    </xf>
    <xf numFmtId="49" fontId="1" fillId="4" borderId="0" xfId="0" applyNumberFormat="1" applyFont="1" applyFill="1">
      <alignment vertical="top"/>
    </xf>
    <xf numFmtId="0" fontId="1" fillId="4" borderId="0" xfId="0" applyFont="1" applyFill="1">
      <alignment vertical="top"/>
    </xf>
    <xf numFmtId="164" fontId="1" fillId="4" borderId="0" xfId="0" applyNumberFormat="1" applyFont="1" applyFill="1">
      <alignment vertical="top"/>
    </xf>
    <xf numFmtId="164" fontId="0" fillId="0" borderId="4" xfId="0" applyNumberFormat="1" applyBorder="1">
      <alignment vertical="top"/>
    </xf>
    <xf numFmtId="49" fontId="1" fillId="5" borderId="3" xfId="0" applyNumberFormat="1" applyFont="1" applyFill="1" applyBorder="1">
      <alignment vertical="top"/>
    </xf>
    <xf numFmtId="164" fontId="1" fillId="5" borderId="4" xfId="0" applyNumberFormat="1" applyFont="1" applyFill="1" applyBorder="1">
      <alignment vertical="top"/>
    </xf>
    <xf numFmtId="49" fontId="1" fillId="0" borderId="0" xfId="0" applyNumberFormat="1" applyFont="1">
      <alignment vertical="top"/>
    </xf>
    <xf numFmtId="49" fontId="2" fillId="2" borderId="0" xfId="0" applyNumberFormat="1" applyFont="1" applyFill="1">
      <alignment vertical="top"/>
    </xf>
    <xf numFmtId="49" fontId="1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A0A8-516D-D748-B5C8-4E92C0ED2868}">
  <dimension ref="A1:D61"/>
  <sheetViews>
    <sheetView tabSelected="1" defaultGridColor="0" colorId="41" workbookViewId="0">
      <selection activeCell="E25" sqref="E25"/>
    </sheetView>
  </sheetViews>
  <sheetFormatPr defaultColWidth="15.7265625" defaultRowHeight="20.25" customHeight="1" x14ac:dyDescent="0.3"/>
  <cols>
    <col min="1" max="1" width="79.90625" bestFit="1" customWidth="1"/>
    <col min="4" max="4" width="22.90625" bestFit="1" customWidth="1"/>
  </cols>
  <sheetData>
    <row r="1" spans="1:4" ht="20.25" customHeight="1" x14ac:dyDescent="0.3">
      <c r="A1" s="22" t="s">
        <v>0</v>
      </c>
      <c r="B1" s="2"/>
      <c r="C1" s="2"/>
      <c r="D1" s="2"/>
    </row>
    <row r="3" spans="1:4" ht="20.25" customHeight="1" x14ac:dyDescent="0.3">
      <c r="A3" s="1" t="s">
        <v>1</v>
      </c>
      <c r="B3" s="2"/>
      <c r="C3" s="2"/>
      <c r="D3" s="2"/>
    </row>
    <row r="5" spans="1:4" ht="20.25" customHeight="1" x14ac:dyDescent="0.3">
      <c r="A5" s="3" t="s">
        <v>2</v>
      </c>
      <c r="B5" s="4" t="s">
        <v>3</v>
      </c>
      <c r="C5" s="5"/>
      <c r="D5" s="5"/>
    </row>
    <row r="6" spans="1:4" ht="20.25" customHeight="1" x14ac:dyDescent="0.3">
      <c r="A6" s="6" t="s">
        <v>4</v>
      </c>
      <c r="B6" s="7" t="s">
        <v>5</v>
      </c>
    </row>
    <row r="7" spans="1:4" ht="20.25" customHeight="1" x14ac:dyDescent="0.3">
      <c r="A7" s="6" t="s">
        <v>6</v>
      </c>
      <c r="B7" s="7" t="s">
        <v>7</v>
      </c>
    </row>
    <row r="8" spans="1:4" ht="20.25" customHeight="1" x14ac:dyDescent="0.3">
      <c r="A8" s="6" t="s">
        <v>8</v>
      </c>
      <c r="B8" s="7" t="s">
        <v>9</v>
      </c>
    </row>
    <row r="9" spans="1:4" ht="20.25" customHeight="1" x14ac:dyDescent="0.3">
      <c r="A9" s="8" t="s">
        <v>10</v>
      </c>
      <c r="B9" s="9" t="s">
        <v>11</v>
      </c>
    </row>
    <row r="11" spans="1:4" ht="20.25" customHeight="1" x14ac:dyDescent="0.3">
      <c r="A11" s="1" t="s">
        <v>12</v>
      </c>
      <c r="B11" s="2"/>
      <c r="C11" s="2"/>
      <c r="D11" s="2"/>
    </row>
    <row r="13" spans="1:4" ht="20.25" customHeight="1" x14ac:dyDescent="0.3">
      <c r="A13" s="3" t="s">
        <v>13</v>
      </c>
      <c r="B13" s="10" t="s">
        <v>14</v>
      </c>
      <c r="C13" s="10" t="s">
        <v>15</v>
      </c>
      <c r="D13" s="4" t="s">
        <v>16</v>
      </c>
    </row>
    <row r="14" spans="1:4" ht="20.25" customHeight="1" x14ac:dyDescent="0.3">
      <c r="A14" s="6" t="s">
        <v>17</v>
      </c>
      <c r="B14" s="11" t="s">
        <v>18</v>
      </c>
      <c r="C14" s="12">
        <v>1200</v>
      </c>
      <c r="D14" s="7" t="s">
        <v>19</v>
      </c>
    </row>
    <row r="15" spans="1:4" ht="20.25" customHeight="1" x14ac:dyDescent="0.3">
      <c r="A15" s="6" t="s">
        <v>20</v>
      </c>
      <c r="B15" s="11" t="s">
        <v>21</v>
      </c>
      <c r="C15" s="12">
        <v>250</v>
      </c>
      <c r="D15" s="7" t="s">
        <v>22</v>
      </c>
    </row>
    <row r="16" spans="1:4" ht="20.25" customHeight="1" x14ac:dyDescent="0.3">
      <c r="A16" s="6" t="s">
        <v>23</v>
      </c>
      <c r="B16" s="11" t="s">
        <v>24</v>
      </c>
      <c r="C16" s="12">
        <v>500</v>
      </c>
      <c r="D16" s="7" t="s">
        <v>25</v>
      </c>
    </row>
    <row r="17" spans="1:4" ht="20.25" customHeight="1" x14ac:dyDescent="0.3">
      <c r="A17" s="8" t="s">
        <v>26</v>
      </c>
      <c r="B17" s="13" t="s">
        <v>27</v>
      </c>
      <c r="C17" s="14">
        <v>0</v>
      </c>
      <c r="D17" s="9" t="s">
        <v>28</v>
      </c>
    </row>
    <row r="19" spans="1:4" ht="20.25" customHeight="1" x14ac:dyDescent="0.3">
      <c r="A19" s="15" t="s">
        <v>29</v>
      </c>
      <c r="B19" s="16"/>
      <c r="C19" s="17">
        <f>SUM(C14:C17)</f>
        <v>1950</v>
      </c>
    </row>
    <row r="21" spans="1:4" ht="20.25" customHeight="1" x14ac:dyDescent="0.3">
      <c r="A21" s="1" t="s">
        <v>30</v>
      </c>
      <c r="B21" s="2"/>
      <c r="C21" s="2"/>
      <c r="D21" s="2"/>
    </row>
    <row r="23" spans="1:4" ht="20.25" customHeight="1" x14ac:dyDescent="0.3">
      <c r="A23" s="3" t="s">
        <v>31</v>
      </c>
      <c r="B23" s="10" t="s">
        <v>14</v>
      </c>
      <c r="C23" s="10" t="s">
        <v>15</v>
      </c>
      <c r="D23" s="4" t="s">
        <v>16</v>
      </c>
    </row>
    <row r="24" spans="1:4" ht="20.25" customHeight="1" x14ac:dyDescent="0.3">
      <c r="A24" s="6" t="s">
        <v>32</v>
      </c>
      <c r="B24" s="11" t="s">
        <v>33</v>
      </c>
      <c r="C24" s="12">
        <v>10000</v>
      </c>
      <c r="D24" s="7" t="s">
        <v>34</v>
      </c>
    </row>
    <row r="25" spans="1:4" ht="20.25" customHeight="1" x14ac:dyDescent="0.3">
      <c r="A25" s="6" t="s">
        <v>35</v>
      </c>
      <c r="B25" s="11" t="s">
        <v>36</v>
      </c>
      <c r="C25" s="12">
        <v>0</v>
      </c>
      <c r="D25" s="7" t="s">
        <v>37</v>
      </c>
    </row>
    <row r="26" spans="1:4" ht="20.25" customHeight="1" x14ac:dyDescent="0.3">
      <c r="A26" s="6" t="s">
        <v>38</v>
      </c>
      <c r="B26" s="11" t="s">
        <v>39</v>
      </c>
      <c r="C26" s="12">
        <v>0</v>
      </c>
      <c r="D26" s="7" t="s">
        <v>37</v>
      </c>
    </row>
    <row r="27" spans="1:4" ht="20.25" customHeight="1" x14ac:dyDescent="0.3">
      <c r="A27" s="6" t="s">
        <v>40</v>
      </c>
      <c r="B27" s="11" t="s">
        <v>41</v>
      </c>
      <c r="C27" s="12">
        <v>0</v>
      </c>
      <c r="D27" s="7" t="s">
        <v>37</v>
      </c>
    </row>
    <row r="28" spans="1:4" ht="20.25" customHeight="1" x14ac:dyDescent="0.3">
      <c r="A28" s="8" t="s">
        <v>42</v>
      </c>
      <c r="B28" s="13" t="s">
        <v>43</v>
      </c>
      <c r="C28" s="14">
        <v>0</v>
      </c>
      <c r="D28" s="9" t="s">
        <v>37</v>
      </c>
    </row>
    <row r="30" spans="1:4" ht="20.25" customHeight="1" x14ac:dyDescent="0.3">
      <c r="A30" s="15" t="s">
        <v>44</v>
      </c>
      <c r="B30" s="16"/>
      <c r="C30" s="17">
        <f>SUM(C24:C28)</f>
        <v>10000</v>
      </c>
    </row>
    <row r="32" spans="1:4" ht="20.25" customHeight="1" x14ac:dyDescent="0.3">
      <c r="A32" s="1" t="s">
        <v>45</v>
      </c>
      <c r="B32" s="2"/>
      <c r="C32" s="2"/>
      <c r="D32" s="2"/>
    </row>
    <row r="34" spans="1:4" ht="20.25" customHeight="1" x14ac:dyDescent="0.3">
      <c r="A34" s="3" t="s">
        <v>46</v>
      </c>
      <c r="B34" s="4" t="s">
        <v>47</v>
      </c>
    </row>
    <row r="35" spans="1:4" ht="20.25" customHeight="1" x14ac:dyDescent="0.3">
      <c r="A35" s="6" t="s">
        <v>48</v>
      </c>
      <c r="B35" s="18" cm="1">
        <f t="array" ref="B35">C30</f>
        <v>10000</v>
      </c>
    </row>
    <row r="36" spans="1:4" ht="20.25" customHeight="1" x14ac:dyDescent="0.3">
      <c r="A36" s="6" t="s">
        <v>49</v>
      </c>
      <c r="B36" s="18" cm="1">
        <f t="array" ref="B36">C19</f>
        <v>1950</v>
      </c>
    </row>
    <row r="37" spans="1:4" ht="20.25" customHeight="1" x14ac:dyDescent="0.3">
      <c r="A37" s="19" t="s">
        <v>50</v>
      </c>
      <c r="B37" s="20">
        <f>B35-B36</f>
        <v>8050</v>
      </c>
    </row>
    <row r="38" spans="1:4" ht="20.25" customHeight="1" x14ac:dyDescent="0.3">
      <c r="A38" s="8" t="s">
        <v>51</v>
      </c>
      <c r="B38" s="9" t="str">
        <f>IF(B37&gt;0,"✅ Yes","❌ No")</f>
        <v>✅ Yes</v>
      </c>
    </row>
    <row r="40" spans="1:4" ht="20.25" customHeight="1" x14ac:dyDescent="0.3">
      <c r="A40" s="11" t="s">
        <v>52</v>
      </c>
    </row>
    <row r="42" spans="1:4" ht="20.25" customHeight="1" x14ac:dyDescent="0.3">
      <c r="A42" s="1" t="s">
        <v>53</v>
      </c>
      <c r="B42" s="2"/>
      <c r="C42" s="2"/>
      <c r="D42" s="2"/>
    </row>
    <row r="44" spans="1:4" ht="20.25" customHeight="1" x14ac:dyDescent="0.3">
      <c r="A44" s="11" t="s">
        <v>54</v>
      </c>
    </row>
    <row r="45" spans="1:4" ht="20.25" customHeight="1" x14ac:dyDescent="0.3">
      <c r="A45" s="11" t="s">
        <v>55</v>
      </c>
    </row>
    <row r="47" spans="1:4" ht="20.25" customHeight="1" x14ac:dyDescent="0.3">
      <c r="A47" s="11" t="s">
        <v>56</v>
      </c>
    </row>
    <row r="48" spans="1:4" ht="20.25" customHeight="1" x14ac:dyDescent="0.3">
      <c r="A48" s="11" t="s">
        <v>55</v>
      </c>
    </row>
    <row r="50" spans="1:4" ht="20.25" customHeight="1" x14ac:dyDescent="0.3">
      <c r="A50" s="11" t="s">
        <v>57</v>
      </c>
    </row>
    <row r="51" spans="1:4" ht="20.25" customHeight="1" x14ac:dyDescent="0.3">
      <c r="A51" s="11" t="s">
        <v>55</v>
      </c>
    </row>
    <row r="53" spans="1:4" ht="20.25" customHeight="1" x14ac:dyDescent="0.3">
      <c r="A53" s="11" t="s">
        <v>58</v>
      </c>
    </row>
    <row r="54" spans="1:4" ht="20.25" customHeight="1" x14ac:dyDescent="0.3">
      <c r="A54" s="11" t="s">
        <v>55</v>
      </c>
    </row>
    <row r="56" spans="1:4" ht="20.25" customHeight="1" x14ac:dyDescent="0.3">
      <c r="A56" s="1" t="s">
        <v>59</v>
      </c>
      <c r="B56" s="2"/>
      <c r="C56" s="2"/>
      <c r="D56" s="2"/>
    </row>
    <row r="58" spans="1:4" ht="20.25" customHeight="1" x14ac:dyDescent="0.3">
      <c r="A58" s="21"/>
      <c r="B58" s="21"/>
    </row>
    <row r="59" spans="1:4" ht="36" x14ac:dyDescent="0.3">
      <c r="A59" s="3" t="s">
        <v>60</v>
      </c>
      <c r="B59" s="23" t="s">
        <v>61</v>
      </c>
    </row>
    <row r="60" spans="1:4" ht="20.25" customHeight="1" x14ac:dyDescent="0.3">
      <c r="A60" s="6" t="s">
        <v>62</v>
      </c>
      <c r="B60" s="7" cm="1">
        <f t="array" ref="B60">C30</f>
        <v>10000</v>
      </c>
    </row>
    <row r="61" spans="1:4" ht="20.25" customHeight="1" x14ac:dyDescent="0.3">
      <c r="A61" s="8" t="s">
        <v>63</v>
      </c>
      <c r="B61" s="9" cm="1">
        <f t="array" ref="B61">C19</f>
        <v>1950</v>
      </c>
    </row>
  </sheetData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</cp:lastModifiedBy>
  <dcterms:modified xsi:type="dcterms:W3CDTF">2025-12-01T02:16:06Z</dcterms:modified>
</cp:coreProperties>
</file>